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Attachments\FAMALI\"/>
    </mc:Choice>
  </mc:AlternateContent>
  <bookViews>
    <workbookView xWindow="0" yWindow="0" windowWidth="19200" windowHeight="7190" activeTab="1"/>
  </bookViews>
  <sheets>
    <sheet name="Sheet3" sheetId="3" r:id="rId1"/>
    <sheet name="Sheet4" sheetId="8" r:id="rId2"/>
    <sheet name="Sheet1" sheetId="1" r:id="rId3"/>
    <sheet name="Sheet2" sheetId="2" r:id="rId4"/>
    <sheet name="Sheet6" sheetId="6" r:id="rId5"/>
    <sheet name="modeling" sheetId="7" r:id="rId6"/>
  </sheets>
  <calcPr calcId="152511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2" l="1"/>
  <c r="H3" i="2" l="1"/>
  <c r="H12" i="2" s="1"/>
  <c r="F21" i="2"/>
  <c r="E15" i="2"/>
  <c r="A18" i="2"/>
  <c r="A17" i="2"/>
  <c r="M14" i="2"/>
  <c r="M1" i="2"/>
  <c r="L1" i="2"/>
  <c r="N6" i="2"/>
  <c r="E9" i="2"/>
  <c r="E18" i="2"/>
  <c r="F18" i="2"/>
  <c r="H16" i="2"/>
  <c r="K16" i="2"/>
  <c r="K12" i="2"/>
  <c r="H6" i="2"/>
  <c r="H9" i="2" s="1"/>
  <c r="F8" i="2"/>
  <c r="B4" i="2"/>
  <c r="C16" i="1"/>
  <c r="D16" i="1"/>
  <c r="E16" i="1"/>
  <c r="F16" i="1"/>
  <c r="G16" i="1"/>
  <c r="C17" i="1"/>
  <c r="D17" i="1"/>
  <c r="E17" i="1"/>
  <c r="F17" i="1"/>
  <c r="G17" i="1"/>
  <c r="J6" i="1"/>
  <c r="J10" i="1"/>
  <c r="J11" i="1"/>
  <c r="J12" i="1"/>
  <c r="J14" i="1"/>
  <c r="H4" i="1"/>
  <c r="I4" i="1"/>
  <c r="J4" i="1"/>
  <c r="H5" i="1"/>
  <c r="I5" i="1"/>
  <c r="J5" i="1"/>
  <c r="H6" i="1"/>
  <c r="I6" i="1"/>
  <c r="H7" i="1"/>
  <c r="I7" i="1"/>
  <c r="J7" i="1"/>
  <c r="H8" i="1"/>
  <c r="I8" i="1"/>
  <c r="J8" i="1"/>
  <c r="H9" i="1"/>
  <c r="I9" i="1"/>
  <c r="J9" i="1"/>
  <c r="H10" i="1"/>
  <c r="I10" i="1"/>
  <c r="H11" i="1"/>
  <c r="I11" i="1"/>
  <c r="H12" i="1"/>
  <c r="I12" i="1"/>
  <c r="H13" i="1"/>
  <c r="I13" i="1"/>
  <c r="J13" i="1"/>
  <c r="H14" i="1"/>
  <c r="I14" i="1"/>
  <c r="H17" i="1" l="1"/>
  <c r="I17" i="1"/>
  <c r="I16" i="1"/>
  <c r="H16" i="1"/>
</calcChain>
</file>

<file path=xl/sharedStrings.xml><?xml version="1.0" encoding="utf-8"?>
<sst xmlns="http://schemas.openxmlformats.org/spreadsheetml/2006/main" count="120" uniqueCount="109">
  <si>
    <t>SRI KRISH INTERNATIONAL SCHOOL</t>
  </si>
  <si>
    <t xml:space="preserve">TAMIL    </t>
  </si>
  <si>
    <t>ENGLISH</t>
  </si>
  <si>
    <t>MATHS</t>
  </si>
  <si>
    <t xml:space="preserve">SCIENCE </t>
  </si>
  <si>
    <t>SOCIAL</t>
  </si>
  <si>
    <t>SANJAY</t>
  </si>
  <si>
    <t>VIJMAL</t>
  </si>
  <si>
    <t>BASKER</t>
  </si>
  <si>
    <t xml:space="preserve">VAJRIN </t>
  </si>
  <si>
    <t>SREE VARSHAN</t>
  </si>
  <si>
    <t>KESHAVE</t>
  </si>
  <si>
    <t>DARSHAK</t>
  </si>
  <si>
    <t>ANBUCHELVAN</t>
  </si>
  <si>
    <t xml:space="preserve">SHESHAPRIYAN </t>
  </si>
  <si>
    <t>KISHORE</t>
  </si>
  <si>
    <t>GANESH</t>
  </si>
  <si>
    <t>TOTAL</t>
  </si>
  <si>
    <t>%</t>
  </si>
  <si>
    <t>pass or fail</t>
  </si>
  <si>
    <t>minimum mark</t>
  </si>
  <si>
    <t>maximum mark</t>
  </si>
  <si>
    <t>name</t>
  </si>
  <si>
    <t>Row Labels</t>
  </si>
  <si>
    <t>Grand Total</t>
  </si>
  <si>
    <t xml:space="preserve">Sum of TAMIL    </t>
  </si>
  <si>
    <t>Sum of ENGLISH</t>
  </si>
  <si>
    <t>Sum of MATHS</t>
  </si>
  <si>
    <t xml:space="preserve">Sum of SCIENCE </t>
  </si>
  <si>
    <t>Sum of SOCIAL</t>
  </si>
  <si>
    <t>Sum of TOTAL</t>
  </si>
  <si>
    <t>Sum of %</t>
  </si>
  <si>
    <t>loan amount</t>
  </si>
  <si>
    <t>intreast rate</t>
  </si>
  <si>
    <t>months</t>
  </si>
  <si>
    <t>thiruna</t>
  </si>
  <si>
    <t>vukkarasu</t>
  </si>
  <si>
    <t>year</t>
  </si>
  <si>
    <t>birday</t>
  </si>
  <si>
    <t>colum chart</t>
  </si>
  <si>
    <t>bar graph</t>
  </si>
  <si>
    <t>radar chart</t>
  </si>
  <si>
    <t>3d line chart</t>
  </si>
  <si>
    <t>area chart</t>
  </si>
  <si>
    <t xml:space="preserve">                                         PIE CHART</t>
  </si>
  <si>
    <t>SCATTER CHART</t>
  </si>
  <si>
    <t>NOW()</t>
  </si>
  <si>
    <t xml:space="preserve">DAY </t>
  </si>
  <si>
    <t>MONDAY</t>
  </si>
  <si>
    <t>TUESDAY</t>
  </si>
  <si>
    <t>WEDNESDAY</t>
  </si>
  <si>
    <t xml:space="preserve">THURSDAY </t>
  </si>
  <si>
    <t xml:space="preserve">FRIDAY </t>
  </si>
  <si>
    <t>SATURDAY</t>
  </si>
  <si>
    <t>SUNDAY</t>
  </si>
  <si>
    <t>FORMULA</t>
  </si>
  <si>
    <t>TODAY()</t>
  </si>
  <si>
    <t>DATE(2026,4,13)</t>
  </si>
  <si>
    <t>TIME(10,30,0)</t>
  </si>
  <si>
    <t>HOUR(A1)</t>
  </si>
  <si>
    <t>SECOND(A1)</t>
  </si>
  <si>
    <t>YEAR()</t>
  </si>
  <si>
    <t>MONTH()</t>
  </si>
  <si>
    <t>MINIT()</t>
  </si>
  <si>
    <t>DATE()</t>
  </si>
  <si>
    <t>DATEIF(A1,B1,Y)</t>
  </si>
  <si>
    <t>LEFT(A1,4)</t>
  </si>
  <si>
    <t>RIGHT(A1,3)</t>
  </si>
  <si>
    <t>MID(A1,2,5,)</t>
  </si>
  <si>
    <t>CONCAT(A1,B1)</t>
  </si>
  <si>
    <t>A1&amp;B1</t>
  </si>
  <si>
    <t>UPPER(A1)</t>
  </si>
  <si>
    <t>LOWER(A1)</t>
  </si>
  <si>
    <t>A1+B1</t>
  </si>
  <si>
    <t>A1-B1</t>
  </si>
  <si>
    <t>A1*B1</t>
  </si>
  <si>
    <t>PROPER(A1)</t>
  </si>
  <si>
    <t>LEN(A1)</t>
  </si>
  <si>
    <t>TRIM(A1)</t>
  </si>
  <si>
    <t>feature</t>
  </si>
  <si>
    <t>abs(a1)</t>
  </si>
  <si>
    <t>if(and(13&gt;=50,a4&gt;=50,</t>
  </si>
  <si>
    <t>for telling currenet hour</t>
  </si>
  <si>
    <t>(a1:A2)</t>
  </si>
  <si>
    <t>It is for date and time</t>
  </si>
  <si>
    <t>Telling date</t>
  </si>
  <si>
    <t>For telling current date</t>
  </si>
  <si>
    <t>Telling the current time</t>
  </si>
  <si>
    <t>Telling current second</t>
  </si>
  <si>
    <t>For telling the current year</t>
  </si>
  <si>
    <t>Telling current month</t>
  </si>
  <si>
    <t>Telling current minut</t>
  </si>
  <si>
    <t>For adding data</t>
  </si>
  <si>
    <t>Telling the curren date</t>
  </si>
  <si>
    <t>For adding the name</t>
  </si>
  <si>
    <t>It shows and addthe left side</t>
  </si>
  <si>
    <t>It shows and add the right side</t>
  </si>
  <si>
    <t>It add the mid of the number</t>
  </si>
  <si>
    <t>Adding the numbers&amp;numbers</t>
  </si>
  <si>
    <t xml:space="preserve">To show to together </t>
  </si>
  <si>
    <t>Showes in upper case</t>
  </si>
  <si>
    <t>Add the data</t>
  </si>
  <si>
    <t>Multiplay the data</t>
  </si>
  <si>
    <t>To add the name</t>
  </si>
  <si>
    <t>To add the 2 number</t>
  </si>
  <si>
    <t>To add the names</t>
  </si>
  <si>
    <t>To put the number</t>
  </si>
  <si>
    <t xml:space="preserve">Subract the data </t>
  </si>
  <si>
    <t>Showes in lower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</si>
</sst>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  <font>
      <sz val="16"/>
      <color rgb="FFFF0000"/>
      <name val="Adobe Song Std L"/>
      <family val="1"/>
      <charset val="128"/>
    </font>
    <font>
      <sz val="16"/>
      <color rgb="FFFF0000"/>
      <name val="Calibri"/>
      <family val="2"/>
      <scheme val="minor"/>
    </font>
    <font>
      <sz val="24"/>
      <color theme="1"/>
      <name val="Adobe Ming Std L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/>
    <xf numFmtId="0" fontId="1" fillId="0" borderId="0" xfId="0" applyFont="1" applyAlignment="1">
      <alignment horizontal="center"/>
    </xf>
    <xf numFmtId="0" fontId="0" fillId="8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 applyAlignment="1">
      <alignment horizontal="left"/>
    </xf>
    <xf numFmtId="164" fontId="0" fillId="0" borderId="0" xfId="0" applyNumberFormat="1"/>
    <xf numFmtId="9" fontId="0" fillId="0" borderId="0" xfId="0" applyNumberFormat="1"/>
    <xf numFmtId="8" fontId="0" fillId="0" borderId="0" xfId="0" applyNumberFormat="1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0" fontId="0" fillId="13" borderId="0" xfId="0" applyFill="1"/>
    <xf numFmtId="0" fontId="0" fillId="5" borderId="0" xfId="0" applyFill="1"/>
    <xf numFmtId="0" fontId="0" fillId="9" borderId="0" xfId="0" applyFill="1"/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2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22" fontId="0" fillId="5" borderId="0" xfId="0" applyNumberFormat="1" applyFill="1"/>
    <xf numFmtId="0" fontId="0" fillId="5" borderId="0" xfId="0" applyFill="1" applyAlignment="1"/>
    <xf numFmtId="14" fontId="0" fillId="5" borderId="0" xfId="0" applyNumberFormat="1" applyFill="1"/>
    <xf numFmtId="0" fontId="0" fillId="5" borderId="0" xfId="0" applyFill="1"/>
  </cellXfs>
  <cellStyles count="1">
    <cellStyle name="Normal" xfId="0" builtinId="0"/>
  </cellStyles>
  <dxfs count="2">
    <dxf>
      <numFmt numFmtId="164" formatCode="_ [$₹-4009]\ * #,##0.00_ ;_ [$₹-4009]\ * \-#,##0.00_ ;_ [$₹-4009]\ * &quot;-&quot;??_ ;_ @_ 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80314960629922"/>
          <c:y val="6.9444444444444448E-2"/>
          <c:w val="0.86486351706036746"/>
          <c:h val="0.7922448235637211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Sheet6!$D$3</c:f>
              <c:strCache>
                <c:ptCount val="1"/>
                <c:pt idx="0">
                  <c:v>birday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</c:marker>
          <c:yVal>
            <c:numRef>
              <c:f>Sheet6!$D$4:$D$15</c:f>
              <c:numCache>
                <c:formatCode>General</c:formatCode>
                <c:ptCount val="12"/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25</c:v>
                </c:pt>
                <c:pt idx="5">
                  <c:v>2</c:v>
                </c:pt>
                <c:pt idx="6">
                  <c:v>2</c:v>
                </c:pt>
                <c:pt idx="7">
                  <c:v>30</c:v>
                </c:pt>
                <c:pt idx="8">
                  <c:v>1</c:v>
                </c:pt>
                <c:pt idx="9">
                  <c:v>22</c:v>
                </c:pt>
                <c:pt idx="10">
                  <c:v>44</c:v>
                </c:pt>
                <c:pt idx="11">
                  <c:v>31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Sheet6!$E$3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lt1"/>
                </a:solidFill>
              </a:ln>
              <a:effectLst/>
            </c:spPr>
          </c:marker>
          <c:yVal>
            <c:numRef>
              <c:f>Sheet6!$E$4:$E$15</c:f>
              <c:numCache>
                <c:formatCode>General</c:formatCode>
                <c:ptCount val="12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21739264"/>
        <c:axId val="-1221743616"/>
      </c:scatterChart>
      <c:valAx>
        <c:axId val="-12217392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1743616"/>
        <c:crosses val="autoZero"/>
        <c:crossBetween val="midCat"/>
      </c:valAx>
      <c:valAx>
        <c:axId val="-1221743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173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Sheet6!$D$3</c:f>
              <c:strCache>
                <c:ptCount val="1"/>
                <c:pt idx="0">
                  <c:v>birday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Sheet6!$D$4:$D$15</c:f>
              <c:numCache>
                <c:formatCode>General</c:formatCode>
                <c:ptCount val="12"/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25</c:v>
                </c:pt>
                <c:pt idx="5">
                  <c:v>2</c:v>
                </c:pt>
                <c:pt idx="6">
                  <c:v>2</c:v>
                </c:pt>
                <c:pt idx="7">
                  <c:v>30</c:v>
                </c:pt>
                <c:pt idx="8">
                  <c:v>1</c:v>
                </c:pt>
                <c:pt idx="9">
                  <c:v>22</c:v>
                </c:pt>
                <c:pt idx="10">
                  <c:v>44</c:v>
                </c:pt>
                <c:pt idx="11">
                  <c:v>31</c:v>
                </c:pt>
              </c:numCache>
            </c:numRef>
          </c:val>
        </c:ser>
        <c:ser>
          <c:idx val="1"/>
          <c:order val="1"/>
          <c:tx>
            <c:strRef>
              <c:f>Sheet6!$E$3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Sheet6!$E$4:$E$15</c:f>
              <c:numCache>
                <c:formatCode>General</c:formatCode>
                <c:ptCount val="12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21738720"/>
        <c:axId val="-1221738176"/>
      </c:barChart>
      <c:catAx>
        <c:axId val="-1221738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1738176"/>
        <c:crosses val="autoZero"/>
        <c:auto val="1"/>
        <c:lblAlgn val="ctr"/>
        <c:lblOffset val="100"/>
        <c:noMultiLvlLbl val="0"/>
      </c:catAx>
      <c:valAx>
        <c:axId val="-12217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173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Sheet6!$D$3</c:f>
              <c:strCache>
                <c:ptCount val="1"/>
                <c:pt idx="0">
                  <c:v>birday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Sheet6!$D$4:$D$15</c:f>
              <c:numCache>
                <c:formatCode>General</c:formatCode>
                <c:ptCount val="12"/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25</c:v>
                </c:pt>
                <c:pt idx="5">
                  <c:v>2</c:v>
                </c:pt>
                <c:pt idx="6">
                  <c:v>2</c:v>
                </c:pt>
                <c:pt idx="7">
                  <c:v>30</c:v>
                </c:pt>
                <c:pt idx="8">
                  <c:v>1</c:v>
                </c:pt>
                <c:pt idx="9">
                  <c:v>22</c:v>
                </c:pt>
                <c:pt idx="10">
                  <c:v>44</c:v>
                </c:pt>
                <c:pt idx="11">
                  <c:v>31</c:v>
                </c:pt>
              </c:numCache>
            </c:numRef>
          </c:val>
        </c:ser>
        <c:ser>
          <c:idx val="1"/>
          <c:order val="1"/>
          <c:tx>
            <c:strRef>
              <c:f>Sheet6!$E$3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Sheet6!$E$4:$E$15</c:f>
              <c:numCache>
                <c:formatCode>General</c:formatCode>
                <c:ptCount val="12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-1221749056"/>
        <c:axId val="-1221748512"/>
      </c:barChart>
      <c:catAx>
        <c:axId val="-122174905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1748512"/>
        <c:crosses val="autoZero"/>
        <c:auto val="1"/>
        <c:lblAlgn val="ctr"/>
        <c:lblOffset val="100"/>
        <c:noMultiLvlLbl val="0"/>
      </c:catAx>
      <c:valAx>
        <c:axId val="-122174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174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Sheet6!$D$3</c:f>
              <c:strCache>
                <c:ptCount val="1"/>
                <c:pt idx="0">
                  <c:v>birday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Sheet6!$D$4:$D$15</c:f>
              <c:numCache>
                <c:formatCode>General</c:formatCode>
                <c:ptCount val="12"/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25</c:v>
                </c:pt>
                <c:pt idx="5">
                  <c:v>2</c:v>
                </c:pt>
                <c:pt idx="6">
                  <c:v>2</c:v>
                </c:pt>
                <c:pt idx="7">
                  <c:v>30</c:v>
                </c:pt>
                <c:pt idx="8">
                  <c:v>1</c:v>
                </c:pt>
                <c:pt idx="9">
                  <c:v>22</c:v>
                </c:pt>
                <c:pt idx="10">
                  <c:v>44</c:v>
                </c:pt>
                <c:pt idx="11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221746880"/>
        <c:axId val="-1221746336"/>
      </c:barChart>
      <c:lineChart>
        <c:grouping val="standard"/>
        <c:varyColors val="0"/>
        <c:ser>
          <c:idx val="1"/>
          <c:order val="1"/>
          <c:tx>
            <c:strRef>
              <c:f>Sheet6!$E$3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Sheet6!$E$4:$E$15</c:f>
              <c:numCache>
                <c:formatCode>General</c:formatCode>
                <c:ptCount val="12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21746880"/>
        <c:axId val="-1221746336"/>
      </c:lineChart>
      <c:catAx>
        <c:axId val="-1221746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1746336"/>
        <c:crosses val="autoZero"/>
        <c:auto val="1"/>
        <c:lblAlgn val="ctr"/>
        <c:lblOffset val="100"/>
        <c:noMultiLvlLbl val="0"/>
      </c:catAx>
      <c:valAx>
        <c:axId val="-122174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174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Sheet6!$D$3</c:f>
              <c:strCache>
                <c:ptCount val="1"/>
                <c:pt idx="0">
                  <c:v>birday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Sheet6!$D$4:$D$15</c:f>
              <c:numCache>
                <c:formatCode>General</c:formatCode>
                <c:ptCount val="12"/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25</c:v>
                </c:pt>
                <c:pt idx="5">
                  <c:v>2</c:v>
                </c:pt>
                <c:pt idx="6">
                  <c:v>2</c:v>
                </c:pt>
                <c:pt idx="7">
                  <c:v>30</c:v>
                </c:pt>
                <c:pt idx="8">
                  <c:v>1</c:v>
                </c:pt>
                <c:pt idx="9">
                  <c:v>22</c:v>
                </c:pt>
                <c:pt idx="10">
                  <c:v>44</c:v>
                </c:pt>
                <c:pt idx="11">
                  <c:v>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Sheet6!$E$3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val>
            <c:numRef>
              <c:f>Sheet6!$E$4:$E$15</c:f>
              <c:numCache>
                <c:formatCode>General</c:formatCode>
                <c:ptCount val="12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36678800"/>
        <c:axId val="-1136677168"/>
        <c:axId val="-1224974544"/>
      </c:line3DChart>
      <c:catAx>
        <c:axId val="-113667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6677168"/>
        <c:crosses val="autoZero"/>
        <c:auto val="1"/>
        <c:lblAlgn val="ctr"/>
        <c:lblOffset val="100"/>
        <c:noMultiLvlLbl val="0"/>
      </c:catAx>
      <c:valAx>
        <c:axId val="-11366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6678800"/>
        <c:crosses val="autoZero"/>
        <c:crossBetween val="between"/>
      </c:valAx>
      <c:serAx>
        <c:axId val="-12249745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6677168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9872475940507424E-2"/>
          <c:y val="0.14116907261592301"/>
          <c:w val="0.75775384076990371"/>
          <c:h val="0.73577136191309422"/>
        </c:manualLayout>
      </c:layout>
      <c:area3DChart>
        <c:grouping val="standard"/>
        <c:varyColors val="0"/>
        <c:ser>
          <c:idx val="0"/>
          <c:order val="0"/>
          <c:tx>
            <c:strRef>
              <c:f>Sheet6!$D$3</c:f>
              <c:strCache>
                <c:ptCount val="1"/>
                <c:pt idx="0">
                  <c:v>birday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Sheet6!$D$4:$D$15</c:f>
              <c:numCache>
                <c:formatCode>General</c:formatCode>
                <c:ptCount val="12"/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25</c:v>
                </c:pt>
                <c:pt idx="5">
                  <c:v>2</c:v>
                </c:pt>
                <c:pt idx="6">
                  <c:v>2</c:v>
                </c:pt>
                <c:pt idx="7">
                  <c:v>30</c:v>
                </c:pt>
                <c:pt idx="8">
                  <c:v>1</c:v>
                </c:pt>
                <c:pt idx="9">
                  <c:v>22</c:v>
                </c:pt>
                <c:pt idx="10">
                  <c:v>44</c:v>
                </c:pt>
                <c:pt idx="11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36681520"/>
        <c:axId val="-1136680976"/>
        <c:axId val="-1224971424"/>
      </c:area3DChart>
      <c:catAx>
        <c:axId val="-1136681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6680976"/>
        <c:crosses val="autoZero"/>
        <c:auto val="1"/>
        <c:lblAlgn val="ctr"/>
        <c:lblOffset val="100"/>
        <c:noMultiLvlLbl val="0"/>
      </c:catAx>
      <c:valAx>
        <c:axId val="-113668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6681520"/>
        <c:crosses val="autoZero"/>
        <c:crossBetween val="midCat"/>
      </c:valAx>
      <c:serAx>
        <c:axId val="-12249714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6680976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Sheet6!$D$3</c:f>
              <c:strCache>
                <c:ptCount val="1"/>
                <c:pt idx="0">
                  <c:v>birday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Sheet6!$D$4:$D$15</c:f>
              <c:numCache>
                <c:formatCode>General</c:formatCode>
                <c:ptCount val="12"/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25</c:v>
                </c:pt>
                <c:pt idx="5">
                  <c:v>2</c:v>
                </c:pt>
                <c:pt idx="6">
                  <c:v>2</c:v>
                </c:pt>
                <c:pt idx="7">
                  <c:v>30</c:v>
                </c:pt>
                <c:pt idx="8">
                  <c:v>1</c:v>
                </c:pt>
                <c:pt idx="9">
                  <c:v>22</c:v>
                </c:pt>
                <c:pt idx="10">
                  <c:v>44</c:v>
                </c:pt>
                <c:pt idx="11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-1136672272"/>
        <c:axId val="-1136671728"/>
      </c:barChart>
      <c:lineChart>
        <c:grouping val="standard"/>
        <c:varyColors val="0"/>
        <c:ser>
          <c:idx val="1"/>
          <c:order val="1"/>
          <c:tx>
            <c:strRef>
              <c:f>Sheet6!$E$3</c:f>
              <c:strCache>
                <c:ptCount val="1"/>
                <c:pt idx="0">
                  <c:v>year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Sheet6!$E$4:$E$15</c:f>
              <c:numCache>
                <c:formatCode>General</c:formatCode>
                <c:ptCount val="12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36669552"/>
        <c:axId val="-1136678256"/>
      </c:lineChart>
      <c:catAx>
        <c:axId val="-113667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6671728"/>
        <c:crosses val="autoZero"/>
        <c:auto val="1"/>
        <c:lblAlgn val="ctr"/>
        <c:lblOffset val="100"/>
        <c:noMultiLvlLbl val="0"/>
      </c:catAx>
      <c:valAx>
        <c:axId val="-113667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6672272"/>
        <c:crosses val="autoZero"/>
        <c:crossBetween val="between"/>
      </c:valAx>
      <c:valAx>
        <c:axId val="-113667825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6669552"/>
        <c:crosses val="max"/>
        <c:crossBetween val="between"/>
      </c:valAx>
      <c:catAx>
        <c:axId val="-1136669552"/>
        <c:scaling>
          <c:orientation val="minMax"/>
        </c:scaling>
        <c:delete val="1"/>
        <c:axPos val="b"/>
        <c:majorTickMark val="out"/>
        <c:minorTickMark val="none"/>
        <c:tickLblPos val="nextTo"/>
        <c:crossAx val="-1136678256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Sheet6!$D$3</c:f>
              <c:strCache>
                <c:ptCount val="1"/>
                <c:pt idx="0">
                  <c:v>birday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Sheet6!$D$4:$D$15</c:f>
              <c:numCache>
                <c:formatCode>General</c:formatCode>
                <c:ptCount val="12"/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25</c:v>
                </c:pt>
                <c:pt idx="5">
                  <c:v>2</c:v>
                </c:pt>
                <c:pt idx="6">
                  <c:v>2</c:v>
                </c:pt>
                <c:pt idx="7">
                  <c:v>30</c:v>
                </c:pt>
                <c:pt idx="8">
                  <c:v>1</c:v>
                </c:pt>
                <c:pt idx="9">
                  <c:v>22</c:v>
                </c:pt>
                <c:pt idx="10">
                  <c:v>44</c:v>
                </c:pt>
                <c:pt idx="11">
                  <c:v>31</c:v>
                </c:pt>
              </c:numCache>
            </c:numRef>
          </c:val>
        </c:ser>
        <c:ser>
          <c:idx val="1"/>
          <c:order val="1"/>
          <c:tx>
            <c:strRef>
              <c:f>Sheet6!$E$3</c:f>
              <c:strCache>
                <c:ptCount val="1"/>
                <c:pt idx="0">
                  <c:v>year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Sheet6!$E$4:$E$15</c:f>
              <c:numCache>
                <c:formatCode>General</c:formatCode>
                <c:ptCount val="12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025371828521428E-2"/>
          <c:y val="2.5428331875182269E-2"/>
          <c:w val="0.86486351706036746"/>
          <c:h val="0.7922448235637211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Sheet6!$D$3</c:f>
              <c:strCache>
                <c:ptCount val="1"/>
                <c:pt idx="0">
                  <c:v>birday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</c:marker>
          <c:yVal>
            <c:numRef>
              <c:f>Sheet6!$D$4:$D$15</c:f>
              <c:numCache>
                <c:formatCode>General</c:formatCode>
                <c:ptCount val="12"/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25</c:v>
                </c:pt>
                <c:pt idx="5">
                  <c:v>2</c:v>
                </c:pt>
                <c:pt idx="6">
                  <c:v>2</c:v>
                </c:pt>
                <c:pt idx="7">
                  <c:v>30</c:v>
                </c:pt>
                <c:pt idx="8">
                  <c:v>1</c:v>
                </c:pt>
                <c:pt idx="9">
                  <c:v>22</c:v>
                </c:pt>
                <c:pt idx="10">
                  <c:v>44</c:v>
                </c:pt>
                <c:pt idx="11">
                  <c:v>31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Sheet6!$E$3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lt1"/>
                </a:solidFill>
              </a:ln>
              <a:effectLst/>
            </c:spPr>
          </c:marker>
          <c:yVal>
            <c:numRef>
              <c:f>Sheet6!$E$4:$E$15</c:f>
              <c:numCache>
                <c:formatCode>General</c:formatCode>
                <c:ptCount val="12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36668464"/>
        <c:axId val="-1136675536"/>
      </c:scatterChart>
      <c:valAx>
        <c:axId val="-11366684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6675536"/>
        <c:crosses val="autoZero"/>
        <c:crossBetween val="midCat"/>
      </c:valAx>
      <c:valAx>
        <c:axId val="-1136675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666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393700</xdr:colOff>
      <xdr:row>3</xdr:row>
      <xdr:rowOff>76200</xdr:rowOff>
    </xdr:from>
    <xdr:to>
      <xdr:col>16</xdr:col>
      <xdr:colOff>508000</xdr:colOff>
      <xdr:row>38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3800" y="628650"/>
          <a:ext cx="6502400" cy="650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288925</xdr:colOff>
      <xdr:row>4</xdr:row>
      <xdr:rowOff>15875</xdr:rowOff>
    </xdr:from>
    <xdr:to>
      <xdr:col>15</xdr:col>
      <xdr:colOff>593725</xdr:colOff>
      <xdr:row>18</xdr:row>
      <xdr:rowOff>180975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605118</xdr:colOff>
      <xdr:row>29</xdr:row>
      <xdr:rowOff>119530</xdr:rowOff>
    </xdr:from>
    <xdr:to>
      <xdr:col>8</xdr:col>
      <xdr:colOff>501463</xdr:colOff>
      <xdr:row>44</xdr:row>
      <xdr:rowOff>61259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134470</xdr:colOff>
      <xdr:row>29</xdr:row>
      <xdr:rowOff>97118</xdr:rowOff>
    </xdr:from>
    <xdr:to>
      <xdr:col>19</xdr:col>
      <xdr:colOff>30816</xdr:colOff>
      <xdr:row>44</xdr:row>
      <xdr:rowOff>38847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575235</xdr:colOff>
      <xdr:row>47</xdr:row>
      <xdr:rowOff>0</xdr:rowOff>
    </xdr:from>
    <xdr:to>
      <xdr:col>9</xdr:col>
      <xdr:colOff>37352</xdr:colOff>
      <xdr:row>61</xdr:row>
      <xdr:rowOff>122892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366058</xdr:colOff>
      <xdr:row>47</xdr:row>
      <xdr:rowOff>37353</xdr:rowOff>
    </xdr:from>
    <xdr:to>
      <xdr:col>18</xdr:col>
      <xdr:colOff>262404</xdr:colOff>
      <xdr:row>61</xdr:row>
      <xdr:rowOff>165847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216647</xdr:colOff>
      <xdr:row>63</xdr:row>
      <xdr:rowOff>179294</xdr:rowOff>
    </xdr:from>
    <xdr:to>
      <xdr:col>9</xdr:col>
      <xdr:colOff>112993</xdr:colOff>
      <xdr:row>78</xdr:row>
      <xdr:rowOff>121023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59765</xdr:colOff>
      <xdr:row>64</xdr:row>
      <xdr:rowOff>97117</xdr:rowOff>
    </xdr:from>
    <xdr:to>
      <xdr:col>20</xdr:col>
      <xdr:colOff>343647</xdr:colOff>
      <xdr:row>79</xdr:row>
      <xdr:rowOff>38846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283882</xdr:colOff>
      <xdr:row>81</xdr:row>
      <xdr:rowOff>74706</xdr:rowOff>
    </xdr:from>
    <xdr:to>
      <xdr:col>10</xdr:col>
      <xdr:colOff>567765</xdr:colOff>
      <xdr:row>96</xdr:row>
      <xdr:rowOff>16435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522941</xdr:colOff>
      <xdr:row>81</xdr:row>
      <xdr:rowOff>7470</xdr:rowOff>
    </xdr:from>
    <xdr:to>
      <xdr:col>20</xdr:col>
      <xdr:colOff>194235</xdr:colOff>
      <xdr:row>95</xdr:row>
      <xdr:rowOff>135964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54.427262384263" createdVersion="5" refreshedVersion="5" minRefreshableVersion="3" recordCount="11">
  <cacheSource type="worksheet">
    <worksheetSource ref="B3:J14" sheet="Sheet1"/>
  </cacheSource>
  <cacheFields count="9">
    <cacheField name="name" numFmtId="0">
      <sharedItems count="11">
        <s v="SANJAY"/>
        <s v="VIJMAL"/>
        <s v="BASKER"/>
        <s v="VAJRIN "/>
        <s v="SREE VARSHAN"/>
        <s v="KESHAVE"/>
        <s v="DARSHAK"/>
        <s v="ANBUCHELVAN"/>
        <s v="SHESHAPRIYAN "/>
        <s v="KISHORE"/>
        <s v="GANESH"/>
      </sharedItems>
    </cacheField>
    <cacheField name="TAMIL    " numFmtId="0">
      <sharedItems containsSemiMixedTypes="0" containsString="0" containsNumber="1" containsInteger="1" minValue="34" maxValue="98"/>
    </cacheField>
    <cacheField name="ENGLISH" numFmtId="0">
      <sharedItems containsSemiMixedTypes="0" containsString="0" containsNumber="1" containsInteger="1" minValue="23" maxValue="98"/>
    </cacheField>
    <cacheField name="MATHS" numFmtId="0">
      <sharedItems containsSemiMixedTypes="0" containsString="0" containsNumber="1" containsInteger="1" minValue="34" maxValue="96"/>
    </cacheField>
    <cacheField name="SCIENCE " numFmtId="0">
      <sharedItems containsSemiMixedTypes="0" containsString="0" containsNumber="1" containsInteger="1" minValue="45" maxValue="99"/>
    </cacheField>
    <cacheField name="SOCIAL" numFmtId="0">
      <sharedItems containsSemiMixedTypes="0" containsString="0" containsNumber="1" containsInteger="1" minValue="23" maxValue="88"/>
    </cacheField>
    <cacheField name="TOTAL" numFmtId="0">
      <sharedItems containsSemiMixedTypes="0" containsString="0" containsNumber="1" containsInteger="1" minValue="276" maxValue="377"/>
    </cacheField>
    <cacheField name="%" numFmtId="0">
      <sharedItems containsSemiMixedTypes="0" containsString="0" containsNumber="1" minValue="55.2" maxValue="75.400000000000006"/>
    </cacheField>
    <cacheField name="pass or f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n v="89"/>
    <n v="89"/>
    <n v="76"/>
    <n v="89"/>
    <n v="34"/>
    <n v="377"/>
    <n v="75.400000000000006"/>
    <s v="pass"/>
  </r>
  <r>
    <x v="1"/>
    <n v="98"/>
    <n v="98"/>
    <n v="67"/>
    <n v="60"/>
    <n v="54"/>
    <n v="377"/>
    <n v="75.400000000000006"/>
    <s v="pass"/>
  </r>
  <r>
    <x v="2"/>
    <n v="67"/>
    <n v="67"/>
    <n v="85"/>
    <n v="69"/>
    <n v="67"/>
    <n v="355"/>
    <n v="71"/>
    <s v="pass"/>
  </r>
  <r>
    <x v="3"/>
    <n v="76"/>
    <n v="56"/>
    <n v="90"/>
    <n v="45"/>
    <n v="23"/>
    <n v="290"/>
    <n v="58"/>
    <s v="pass"/>
  </r>
  <r>
    <x v="4"/>
    <n v="45"/>
    <n v="97"/>
    <n v="68"/>
    <n v="55"/>
    <n v="68"/>
    <n v="333"/>
    <n v="66.599999999999994"/>
    <s v="pass"/>
  </r>
  <r>
    <x v="5"/>
    <n v="97"/>
    <n v="68"/>
    <n v="34"/>
    <n v="99"/>
    <n v="69"/>
    <n v="367"/>
    <n v="73.400000000000006"/>
    <s v="pass"/>
  </r>
  <r>
    <x v="6"/>
    <n v="34"/>
    <n v="23"/>
    <n v="66"/>
    <n v="98"/>
    <n v="55"/>
    <n v="276"/>
    <n v="55.2"/>
    <s v="pass"/>
  </r>
  <r>
    <x v="7"/>
    <n v="56"/>
    <n v="44"/>
    <n v="87"/>
    <n v="79"/>
    <n v="50"/>
    <n v="316"/>
    <n v="63.2"/>
    <s v="pass"/>
  </r>
  <r>
    <x v="8"/>
    <n v="45"/>
    <n v="67"/>
    <n v="96"/>
    <n v="79"/>
    <n v="57"/>
    <n v="344"/>
    <n v="68.8"/>
    <s v="pass"/>
  </r>
  <r>
    <x v="9"/>
    <n v="76"/>
    <n v="96"/>
    <n v="66"/>
    <n v="57"/>
    <n v="45"/>
    <n v="340"/>
    <n v="68"/>
    <s v="pass"/>
  </r>
  <r>
    <x v="10"/>
    <n v="56"/>
    <n v="89"/>
    <n v="67"/>
    <n v="58"/>
    <n v="88"/>
    <n v="358"/>
    <n v="71.599999999999994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H15" firstHeaderRow="0" firstDataRow="1" firstDataCol="1"/>
  <pivotFields count="9">
    <pivotField axis="axisRow" showAll="0">
      <items count="12">
        <item x="7"/>
        <item x="2"/>
        <item x="6"/>
        <item x="10"/>
        <item x="5"/>
        <item x="9"/>
        <item x="0"/>
        <item x="8"/>
        <item x="4"/>
        <item x="3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AMIL    " fld="1" baseField="0" baseItem="0"/>
    <dataField name="Sum of ENGLISH" fld="2" baseField="0" baseItem="0"/>
    <dataField name="Sum of MATHS" fld="3" baseField="0" baseItem="0"/>
    <dataField name="Sum of SCIENCE " fld="4" baseField="0" baseItem="0"/>
    <dataField name="Sum of SOCIAL" fld="5" baseField="0" baseItem="0"/>
    <dataField name="Sum of %" fld="7" baseField="0" baseItem="0"/>
    <dataField name="Sum of TOTAL" fld="6" baseField="0" baseItem="0"/>
  </dataFields>
  <formats count="2">
    <format dxfId="1">
      <pivotArea dataOnly="0" labelOnly="1" fieldPosition="0">
        <references count="1">
          <reference field="0" count="1">
            <x v="3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0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5"/>
  <sheetViews>
    <sheetView topLeftCell="C4" zoomScale="145" zoomScaleNormal="145" workbookViewId="0">
      <selection activeCell="J13" sqref="J13"/>
    </sheetView>
  </sheetViews>
  <sheetFormatPr defaultRowHeight="14.5" x14ac:dyDescent="0.35"/>
  <cols>
    <col min="1" max="1" width="14" bestFit="1" customWidth="1"/>
    <col min="2" max="3" width="14.26953125" bestFit="1" customWidth="1"/>
    <col min="4" max="4" width="13.26953125" bestFit="1" customWidth="1"/>
    <col min="5" max="5" width="14.54296875" bestFit="1" customWidth="1"/>
    <col min="6" max="6" width="13.08984375" bestFit="1" customWidth="1"/>
    <col min="7" max="7" width="8.54296875" customWidth="1"/>
    <col min="8" max="8" width="12.453125" customWidth="1"/>
  </cols>
  <sheetData>
    <row r="3" spans="1:8" x14ac:dyDescent="0.35">
      <c r="A3" s="14" t="s">
        <v>23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31</v>
      </c>
      <c r="H3" t="s">
        <v>30</v>
      </c>
    </row>
    <row r="4" spans="1:8" x14ac:dyDescent="0.35">
      <c r="A4" s="15" t="s">
        <v>13</v>
      </c>
      <c r="B4" s="16">
        <v>56</v>
      </c>
      <c r="C4" s="16">
        <v>44</v>
      </c>
      <c r="D4" s="16">
        <v>87</v>
      </c>
      <c r="E4" s="16">
        <v>79</v>
      </c>
      <c r="F4" s="16">
        <v>50</v>
      </c>
      <c r="G4" s="16">
        <v>63.2</v>
      </c>
      <c r="H4" s="16">
        <v>316</v>
      </c>
    </row>
    <row r="5" spans="1:8" x14ac:dyDescent="0.35">
      <c r="A5" s="15" t="s">
        <v>8</v>
      </c>
      <c r="B5" s="16">
        <v>67</v>
      </c>
      <c r="C5" s="16">
        <v>67</v>
      </c>
      <c r="D5" s="16">
        <v>85</v>
      </c>
      <c r="E5" s="16">
        <v>69</v>
      </c>
      <c r="F5" s="16">
        <v>67</v>
      </c>
      <c r="G5" s="16">
        <v>71</v>
      </c>
      <c r="H5" s="16">
        <v>355</v>
      </c>
    </row>
    <row r="6" spans="1:8" x14ac:dyDescent="0.35">
      <c r="A6" s="15" t="s">
        <v>12</v>
      </c>
      <c r="B6" s="16">
        <v>34</v>
      </c>
      <c r="C6" s="16">
        <v>23</v>
      </c>
      <c r="D6" s="16">
        <v>66</v>
      </c>
      <c r="E6" s="16">
        <v>98</v>
      </c>
      <c r="F6" s="16">
        <v>55</v>
      </c>
      <c r="G6" s="16">
        <v>55.2</v>
      </c>
      <c r="H6" s="16">
        <v>276</v>
      </c>
    </row>
    <row r="7" spans="1:8" x14ac:dyDescent="0.35">
      <c r="A7" s="17" t="s">
        <v>16</v>
      </c>
      <c r="B7" s="16">
        <v>56</v>
      </c>
      <c r="C7" s="16">
        <v>89</v>
      </c>
      <c r="D7" s="16">
        <v>67</v>
      </c>
      <c r="E7" s="16">
        <v>58</v>
      </c>
      <c r="F7" s="16">
        <v>88</v>
      </c>
      <c r="G7" s="16">
        <v>71.599999999999994</v>
      </c>
      <c r="H7" s="16">
        <v>358</v>
      </c>
    </row>
    <row r="8" spans="1:8" x14ac:dyDescent="0.35">
      <c r="A8" s="15" t="s">
        <v>11</v>
      </c>
      <c r="B8" s="16">
        <v>97</v>
      </c>
      <c r="C8" s="18">
        <v>68</v>
      </c>
      <c r="D8" s="16">
        <v>34</v>
      </c>
      <c r="E8" s="16">
        <v>99</v>
      </c>
      <c r="F8" s="16">
        <v>69</v>
      </c>
      <c r="G8" s="16">
        <v>73.400000000000006</v>
      </c>
      <c r="H8" s="16">
        <v>367</v>
      </c>
    </row>
    <row r="9" spans="1:8" x14ac:dyDescent="0.35">
      <c r="A9" s="15" t="s">
        <v>15</v>
      </c>
      <c r="B9" s="16">
        <v>76</v>
      </c>
      <c r="C9" s="16">
        <v>96</v>
      </c>
      <c r="D9" s="16">
        <v>66</v>
      </c>
      <c r="E9" s="16">
        <v>57</v>
      </c>
      <c r="F9" s="16">
        <v>45</v>
      </c>
      <c r="G9" s="16">
        <v>68</v>
      </c>
      <c r="H9" s="16">
        <v>340</v>
      </c>
    </row>
    <row r="10" spans="1:8" x14ac:dyDescent="0.35">
      <c r="A10" s="15" t="s">
        <v>6</v>
      </c>
      <c r="B10" s="16">
        <v>89</v>
      </c>
      <c r="C10" s="16">
        <v>89</v>
      </c>
      <c r="D10" s="16">
        <v>76</v>
      </c>
      <c r="E10" s="16">
        <v>89</v>
      </c>
      <c r="F10" s="16">
        <v>34</v>
      </c>
      <c r="G10" s="16">
        <v>75.400000000000006</v>
      </c>
      <c r="H10" s="16">
        <v>377</v>
      </c>
    </row>
    <row r="11" spans="1:8" x14ac:dyDescent="0.35">
      <c r="A11" s="15" t="s">
        <v>14</v>
      </c>
      <c r="B11" s="16">
        <v>45</v>
      </c>
      <c r="C11" s="16">
        <v>67</v>
      </c>
      <c r="D11" s="16">
        <v>96</v>
      </c>
      <c r="E11" s="16">
        <v>79</v>
      </c>
      <c r="F11" s="16">
        <v>57</v>
      </c>
      <c r="G11" s="16">
        <v>68.8</v>
      </c>
      <c r="H11" s="16">
        <v>344</v>
      </c>
    </row>
    <row r="12" spans="1:8" x14ac:dyDescent="0.35">
      <c r="A12" s="15" t="s">
        <v>10</v>
      </c>
      <c r="B12" s="16">
        <v>45</v>
      </c>
      <c r="C12" s="16">
        <v>97</v>
      </c>
      <c r="D12" s="16">
        <v>68</v>
      </c>
      <c r="E12" s="16">
        <v>55</v>
      </c>
      <c r="F12" s="16">
        <v>68</v>
      </c>
      <c r="G12" s="16">
        <v>66.599999999999994</v>
      </c>
      <c r="H12" s="16">
        <v>333</v>
      </c>
    </row>
    <row r="13" spans="1:8" x14ac:dyDescent="0.35">
      <c r="A13" s="15" t="s">
        <v>9</v>
      </c>
      <c r="B13" s="16">
        <v>76</v>
      </c>
      <c r="C13" s="16">
        <v>56</v>
      </c>
      <c r="D13" s="16">
        <v>90</v>
      </c>
      <c r="E13" s="16">
        <v>45</v>
      </c>
      <c r="F13" s="16">
        <v>23</v>
      </c>
      <c r="G13" s="16">
        <v>58</v>
      </c>
      <c r="H13" s="16">
        <v>290</v>
      </c>
    </row>
    <row r="14" spans="1:8" x14ac:dyDescent="0.35">
      <c r="A14" s="15" t="s">
        <v>7</v>
      </c>
      <c r="B14" s="16">
        <v>98</v>
      </c>
      <c r="C14" s="16">
        <v>98</v>
      </c>
      <c r="D14" s="16">
        <v>67</v>
      </c>
      <c r="E14" s="16">
        <v>60</v>
      </c>
      <c r="F14" s="16">
        <v>54</v>
      </c>
      <c r="G14" s="16">
        <v>75.400000000000006</v>
      </c>
      <c r="H14" s="16">
        <v>377</v>
      </c>
    </row>
    <row r="15" spans="1:8" x14ac:dyDescent="0.35">
      <c r="A15" s="15" t="s">
        <v>24</v>
      </c>
      <c r="B15" s="16">
        <v>739</v>
      </c>
      <c r="C15" s="16">
        <v>794</v>
      </c>
      <c r="D15" s="16">
        <v>802</v>
      </c>
      <c r="E15" s="16">
        <v>788</v>
      </c>
      <c r="F15" s="16">
        <v>610</v>
      </c>
      <c r="G15" s="16">
        <v>746.59999999999991</v>
      </c>
      <c r="H15" s="16">
        <v>3733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33"/>
  <sheetViews>
    <sheetView tabSelected="1" topLeftCell="A2" zoomScale="90" zoomScaleNormal="90" workbookViewId="0">
      <selection activeCell="F3" sqref="F3:J3"/>
    </sheetView>
  </sheetViews>
  <sheetFormatPr defaultRowHeight="14.5" x14ac:dyDescent="0.35"/>
  <cols>
    <col min="1" max="2" width="8.7265625" style="25"/>
    <col min="3" max="3" width="23" style="25" customWidth="1"/>
    <col min="4" max="10" width="8.7265625" style="25"/>
    <col min="11" max="11" width="15.36328125" style="25" bestFit="1" customWidth="1"/>
    <col min="12" max="12" width="10.1796875" style="25" bestFit="1" customWidth="1"/>
    <col min="13" max="16384" width="8.7265625" style="25"/>
  </cols>
  <sheetData>
    <row r="3" spans="2:12" ht="29" x14ac:dyDescent="0.5">
      <c r="B3" s="32" t="s">
        <v>55</v>
      </c>
      <c r="C3" s="33"/>
      <c r="D3" s="33"/>
      <c r="F3" s="34" t="s">
        <v>79</v>
      </c>
      <c r="G3" s="35"/>
      <c r="H3" s="35"/>
      <c r="I3" s="35"/>
      <c r="J3" s="35"/>
    </row>
    <row r="4" spans="2:12" x14ac:dyDescent="0.35">
      <c r="G4" s="35"/>
      <c r="H4" s="35"/>
    </row>
    <row r="5" spans="2:12" x14ac:dyDescent="0.35">
      <c r="C5" s="36" t="s">
        <v>56</v>
      </c>
      <c r="F5" s="3"/>
      <c r="G5" s="3" t="s">
        <v>84</v>
      </c>
      <c r="H5" s="37"/>
      <c r="I5" s="37"/>
      <c r="J5" s="37"/>
    </row>
    <row r="6" spans="2:12" x14ac:dyDescent="0.35">
      <c r="C6" s="38" t="s">
        <v>46</v>
      </c>
      <c r="G6" s="37" t="s">
        <v>85</v>
      </c>
      <c r="H6" s="37"/>
      <c r="L6" s="38"/>
    </row>
    <row r="7" spans="2:12" x14ac:dyDescent="0.35">
      <c r="C7" s="25" t="s">
        <v>57</v>
      </c>
      <c r="F7" s="3"/>
      <c r="G7" s="3" t="s">
        <v>86</v>
      </c>
      <c r="H7" s="3"/>
    </row>
    <row r="8" spans="2:12" x14ac:dyDescent="0.35">
      <c r="C8" s="25" t="s">
        <v>58</v>
      </c>
      <c r="G8" s="3" t="s">
        <v>87</v>
      </c>
      <c r="K8" s="36"/>
    </row>
    <row r="9" spans="2:12" x14ac:dyDescent="0.35">
      <c r="C9" s="25" t="s">
        <v>59</v>
      </c>
      <c r="G9" s="3" t="s">
        <v>82</v>
      </c>
    </row>
    <row r="10" spans="2:12" x14ac:dyDescent="0.35">
      <c r="C10" s="25" t="s">
        <v>60</v>
      </c>
      <c r="G10" s="3" t="s">
        <v>88</v>
      </c>
    </row>
    <row r="11" spans="2:12" x14ac:dyDescent="0.35">
      <c r="C11" s="25" t="s">
        <v>61</v>
      </c>
      <c r="G11" s="3" t="s">
        <v>89</v>
      </c>
    </row>
    <row r="12" spans="2:12" x14ac:dyDescent="0.35">
      <c r="C12" s="25" t="s">
        <v>62</v>
      </c>
      <c r="G12" s="3" t="s">
        <v>90</v>
      </c>
    </row>
    <row r="13" spans="2:12" x14ac:dyDescent="0.35">
      <c r="C13" s="25" t="s">
        <v>63</v>
      </c>
      <c r="G13" s="3" t="s">
        <v>91</v>
      </c>
    </row>
    <row r="14" spans="2:12" x14ac:dyDescent="0.35">
      <c r="C14" s="25" t="s">
        <v>83</v>
      </c>
      <c r="G14" s="3" t="s">
        <v>92</v>
      </c>
    </row>
    <row r="15" spans="2:12" x14ac:dyDescent="0.35">
      <c r="C15" s="25" t="s">
        <v>64</v>
      </c>
      <c r="G15" s="3" t="s">
        <v>93</v>
      </c>
    </row>
    <row r="16" spans="2:12" x14ac:dyDescent="0.35">
      <c r="C16" s="25" t="s">
        <v>65</v>
      </c>
      <c r="G16" s="3" t="s">
        <v>94</v>
      </c>
    </row>
    <row r="17" spans="3:8" x14ac:dyDescent="0.35">
      <c r="C17" s="25" t="s">
        <v>66</v>
      </c>
      <c r="G17" s="3" t="s">
        <v>95</v>
      </c>
      <c r="H17" s="3"/>
    </row>
    <row r="18" spans="3:8" x14ac:dyDescent="0.35">
      <c r="C18" s="25" t="s">
        <v>67</v>
      </c>
      <c r="G18" s="3" t="s">
        <v>96</v>
      </c>
    </row>
    <row r="19" spans="3:8" x14ac:dyDescent="0.35">
      <c r="C19" s="25" t="s">
        <v>68</v>
      </c>
      <c r="G19" s="3" t="s">
        <v>97</v>
      </c>
    </row>
    <row r="20" spans="3:8" x14ac:dyDescent="0.35">
      <c r="C20" s="25" t="s">
        <v>69</v>
      </c>
      <c r="G20" s="3" t="s">
        <v>98</v>
      </c>
    </row>
    <row r="21" spans="3:8" x14ac:dyDescent="0.35">
      <c r="C21" s="25" t="s">
        <v>70</v>
      </c>
      <c r="G21" s="3" t="s">
        <v>99</v>
      </c>
    </row>
    <row r="22" spans="3:8" x14ac:dyDescent="0.35">
      <c r="C22" s="25" t="s">
        <v>71</v>
      </c>
      <c r="G22" s="3" t="s">
        <v>100</v>
      </c>
    </row>
    <row r="23" spans="3:8" x14ac:dyDescent="0.35">
      <c r="C23" s="25" t="s">
        <v>72</v>
      </c>
      <c r="G23" s="3" t="s">
        <v>108</v>
      </c>
    </row>
    <row r="24" spans="3:8" x14ac:dyDescent="0.35">
      <c r="C24" s="25" t="s">
        <v>73</v>
      </c>
      <c r="G24" s="3" t="s">
        <v>101</v>
      </c>
    </row>
    <row r="25" spans="3:8" x14ac:dyDescent="0.35">
      <c r="C25" s="25" t="s">
        <v>74</v>
      </c>
      <c r="G25" s="3" t="s">
        <v>107</v>
      </c>
    </row>
    <row r="26" spans="3:8" x14ac:dyDescent="0.35">
      <c r="C26" s="25" t="s">
        <v>75</v>
      </c>
      <c r="G26" s="3" t="s">
        <v>102</v>
      </c>
    </row>
    <row r="27" spans="3:8" x14ac:dyDescent="0.35">
      <c r="C27" s="25" t="s">
        <v>76</v>
      </c>
      <c r="G27" s="3" t="s">
        <v>103</v>
      </c>
    </row>
    <row r="28" spans="3:8" x14ac:dyDescent="0.35">
      <c r="C28" s="25" t="s">
        <v>77</v>
      </c>
      <c r="G28" s="3" t="s">
        <v>104</v>
      </c>
    </row>
    <row r="29" spans="3:8" x14ac:dyDescent="0.35">
      <c r="C29" s="25" t="s">
        <v>78</v>
      </c>
      <c r="G29" s="3" t="s">
        <v>105</v>
      </c>
    </row>
    <row r="30" spans="3:8" x14ac:dyDescent="0.35">
      <c r="C30" s="25" t="s">
        <v>80</v>
      </c>
      <c r="G30" s="3" t="s">
        <v>106</v>
      </c>
    </row>
    <row r="31" spans="3:8" x14ac:dyDescent="0.35">
      <c r="C31" s="39" t="s">
        <v>81</v>
      </c>
      <c r="D31" s="39"/>
    </row>
    <row r="32" spans="3:8" x14ac:dyDescent="0.35">
      <c r="G32" s="3"/>
    </row>
    <row r="33" spans="7:7" x14ac:dyDescent="0.35">
      <c r="G33" s="3"/>
    </row>
  </sheetData>
  <mergeCells count="4">
    <mergeCell ref="B3:D3"/>
    <mergeCell ref="F3:J3"/>
    <mergeCell ref="G4:H4"/>
    <mergeCell ref="C31:D3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7"/>
  <sheetViews>
    <sheetView workbookViewId="0">
      <selection activeCell="M6" sqref="B1:M6"/>
    </sheetView>
  </sheetViews>
  <sheetFormatPr defaultRowHeight="14.5" x14ac:dyDescent="0.35"/>
  <cols>
    <col min="1" max="1" width="26.08984375" customWidth="1"/>
    <col min="2" max="2" width="17.36328125" customWidth="1"/>
    <col min="4" max="4" width="9.08984375" customWidth="1"/>
    <col min="10" max="10" width="17.453125" customWidth="1"/>
  </cols>
  <sheetData>
    <row r="1" spans="2:11" x14ac:dyDescent="0.35">
      <c r="E1" s="27" t="s">
        <v>0</v>
      </c>
      <c r="F1" s="27"/>
      <c r="G1" s="27"/>
      <c r="H1" s="27"/>
      <c r="I1" s="27"/>
      <c r="J1" s="27"/>
      <c r="K1" s="27"/>
    </row>
    <row r="2" spans="2:11" x14ac:dyDescent="0.35">
      <c r="E2" s="1"/>
      <c r="I2" s="1"/>
    </row>
    <row r="3" spans="2:11" x14ac:dyDescent="0.35">
      <c r="B3" s="3" t="s">
        <v>22</v>
      </c>
      <c r="C3" s="4" t="s">
        <v>1</v>
      </c>
      <c r="D3" s="6" t="s">
        <v>2</v>
      </c>
      <c r="E3" s="2" t="s">
        <v>3</v>
      </c>
      <c r="F3" s="7" t="s">
        <v>4</v>
      </c>
      <c r="G3" s="8" t="s">
        <v>5</v>
      </c>
      <c r="H3" s="9" t="s">
        <v>17</v>
      </c>
      <c r="I3" s="11" t="s">
        <v>18</v>
      </c>
      <c r="J3" s="12" t="s">
        <v>19</v>
      </c>
    </row>
    <row r="4" spans="2:11" x14ac:dyDescent="0.35">
      <c r="B4" s="1" t="s">
        <v>6</v>
      </c>
      <c r="C4" s="1">
        <v>89</v>
      </c>
      <c r="D4" s="1">
        <v>89</v>
      </c>
      <c r="E4" s="1">
        <v>76</v>
      </c>
      <c r="F4" s="1">
        <v>89</v>
      </c>
      <c r="G4" s="1">
        <v>34</v>
      </c>
      <c r="H4" s="1">
        <f t="shared" ref="H4:H14" si="0">SUM(C4:G4)</f>
        <v>377</v>
      </c>
      <c r="I4" s="1">
        <f t="shared" ref="I4:I14" si="1">AVERAGE(C4:G4)</f>
        <v>75.400000000000006</v>
      </c>
      <c r="J4" s="1" t="str">
        <f t="shared" ref="J4:J14" si="2">IF(B4&gt;400,"pass","fail")</f>
        <v>pass</v>
      </c>
    </row>
    <row r="5" spans="2:11" x14ac:dyDescent="0.35">
      <c r="B5" s="1" t="s">
        <v>7</v>
      </c>
      <c r="C5" s="1">
        <v>98</v>
      </c>
      <c r="D5" s="1">
        <v>98</v>
      </c>
      <c r="E5" s="1">
        <v>67</v>
      </c>
      <c r="F5" s="1">
        <v>60</v>
      </c>
      <c r="G5" s="1">
        <v>54</v>
      </c>
      <c r="H5" s="1">
        <f t="shared" si="0"/>
        <v>377</v>
      </c>
      <c r="I5" s="1">
        <f t="shared" si="1"/>
        <v>75.400000000000006</v>
      </c>
      <c r="J5" s="1" t="str">
        <f t="shared" si="2"/>
        <v>pass</v>
      </c>
    </row>
    <row r="6" spans="2:11" x14ac:dyDescent="0.35">
      <c r="B6" s="1" t="s">
        <v>8</v>
      </c>
      <c r="C6" s="1">
        <v>67</v>
      </c>
      <c r="D6" s="1">
        <v>67</v>
      </c>
      <c r="E6" s="1">
        <v>85</v>
      </c>
      <c r="F6" s="1">
        <v>69</v>
      </c>
      <c r="G6" s="1">
        <v>67</v>
      </c>
      <c r="H6" s="1">
        <f t="shared" si="0"/>
        <v>355</v>
      </c>
      <c r="I6" s="1">
        <f t="shared" si="1"/>
        <v>71</v>
      </c>
      <c r="J6" s="1" t="str">
        <f t="shared" si="2"/>
        <v>pass</v>
      </c>
    </row>
    <row r="7" spans="2:11" x14ac:dyDescent="0.35">
      <c r="B7" s="1" t="s">
        <v>9</v>
      </c>
      <c r="C7" s="1">
        <v>76</v>
      </c>
      <c r="D7" s="1">
        <v>56</v>
      </c>
      <c r="E7" s="1">
        <v>90</v>
      </c>
      <c r="F7" s="1">
        <v>45</v>
      </c>
      <c r="G7" s="1">
        <v>23</v>
      </c>
      <c r="H7" s="1">
        <f t="shared" si="0"/>
        <v>290</v>
      </c>
      <c r="I7" s="1">
        <f t="shared" si="1"/>
        <v>58</v>
      </c>
      <c r="J7" s="1" t="str">
        <f t="shared" si="2"/>
        <v>pass</v>
      </c>
    </row>
    <row r="8" spans="2:11" x14ac:dyDescent="0.35">
      <c r="B8" s="1" t="s">
        <v>10</v>
      </c>
      <c r="C8" s="1">
        <v>45</v>
      </c>
      <c r="D8" s="1">
        <v>97</v>
      </c>
      <c r="E8" s="1">
        <v>68</v>
      </c>
      <c r="F8" s="1">
        <v>55</v>
      </c>
      <c r="G8" s="1">
        <v>68</v>
      </c>
      <c r="H8" s="1">
        <f t="shared" si="0"/>
        <v>333</v>
      </c>
      <c r="I8" s="1">
        <f t="shared" si="1"/>
        <v>66.599999999999994</v>
      </c>
      <c r="J8" s="1" t="str">
        <f t="shared" si="2"/>
        <v>pass</v>
      </c>
    </row>
    <row r="9" spans="2:11" x14ac:dyDescent="0.35">
      <c r="B9" s="1" t="s">
        <v>11</v>
      </c>
      <c r="C9" s="1">
        <v>97</v>
      </c>
      <c r="D9" s="1">
        <v>68</v>
      </c>
      <c r="E9" s="1">
        <v>34</v>
      </c>
      <c r="F9" s="1">
        <v>99</v>
      </c>
      <c r="G9" s="1">
        <v>69</v>
      </c>
      <c r="H9" s="1">
        <f t="shared" si="0"/>
        <v>367</v>
      </c>
      <c r="I9" s="1">
        <f t="shared" si="1"/>
        <v>73.400000000000006</v>
      </c>
      <c r="J9" s="1" t="str">
        <f t="shared" si="2"/>
        <v>pass</v>
      </c>
    </row>
    <row r="10" spans="2:11" x14ac:dyDescent="0.35">
      <c r="B10" s="1" t="s">
        <v>12</v>
      </c>
      <c r="C10" s="1">
        <v>34</v>
      </c>
      <c r="D10" s="1">
        <v>23</v>
      </c>
      <c r="E10" s="1">
        <v>66</v>
      </c>
      <c r="F10" s="1">
        <v>98</v>
      </c>
      <c r="G10" s="1">
        <v>55</v>
      </c>
      <c r="H10" s="1">
        <f t="shared" si="0"/>
        <v>276</v>
      </c>
      <c r="I10" s="1">
        <f t="shared" si="1"/>
        <v>55.2</v>
      </c>
      <c r="J10" s="1" t="str">
        <f t="shared" si="2"/>
        <v>pass</v>
      </c>
    </row>
    <row r="11" spans="2:11" x14ac:dyDescent="0.35">
      <c r="B11" s="1" t="s">
        <v>13</v>
      </c>
      <c r="C11" s="1">
        <v>56</v>
      </c>
      <c r="D11" s="1">
        <v>44</v>
      </c>
      <c r="E11" s="1">
        <v>87</v>
      </c>
      <c r="F11" s="1">
        <v>79</v>
      </c>
      <c r="G11" s="1">
        <v>50</v>
      </c>
      <c r="H11" s="1">
        <f t="shared" si="0"/>
        <v>316</v>
      </c>
      <c r="I11" s="1">
        <f t="shared" si="1"/>
        <v>63.2</v>
      </c>
      <c r="J11" s="1" t="str">
        <f t="shared" si="2"/>
        <v>pass</v>
      </c>
    </row>
    <row r="12" spans="2:11" x14ac:dyDescent="0.35">
      <c r="B12" s="1" t="s">
        <v>14</v>
      </c>
      <c r="C12" s="1">
        <v>45</v>
      </c>
      <c r="D12" s="1">
        <v>67</v>
      </c>
      <c r="E12" s="1">
        <v>96</v>
      </c>
      <c r="F12" s="1">
        <v>79</v>
      </c>
      <c r="G12" s="1">
        <v>57</v>
      </c>
      <c r="H12" s="1">
        <f t="shared" si="0"/>
        <v>344</v>
      </c>
      <c r="I12" s="1">
        <f t="shared" si="1"/>
        <v>68.8</v>
      </c>
      <c r="J12" s="1" t="str">
        <f t="shared" si="2"/>
        <v>pass</v>
      </c>
    </row>
    <row r="13" spans="2:11" x14ac:dyDescent="0.35">
      <c r="B13" s="1" t="s">
        <v>15</v>
      </c>
      <c r="C13" s="1">
        <v>76</v>
      </c>
      <c r="D13" s="1">
        <v>96</v>
      </c>
      <c r="E13" s="1">
        <v>66</v>
      </c>
      <c r="F13" s="1">
        <v>57</v>
      </c>
      <c r="G13" s="1">
        <v>45</v>
      </c>
      <c r="H13" s="1">
        <f t="shared" si="0"/>
        <v>340</v>
      </c>
      <c r="I13" s="1">
        <f t="shared" si="1"/>
        <v>68</v>
      </c>
      <c r="J13" s="1" t="str">
        <f t="shared" si="2"/>
        <v>pass</v>
      </c>
    </row>
    <row r="14" spans="2:11" x14ac:dyDescent="0.35">
      <c r="B14" s="1" t="s">
        <v>16</v>
      </c>
      <c r="C14" s="1">
        <v>56</v>
      </c>
      <c r="D14" s="1">
        <v>89</v>
      </c>
      <c r="E14" s="1">
        <v>67</v>
      </c>
      <c r="F14" s="1">
        <v>58</v>
      </c>
      <c r="G14" s="1">
        <v>88</v>
      </c>
      <c r="H14" s="1">
        <f t="shared" si="0"/>
        <v>358</v>
      </c>
      <c r="I14" s="1">
        <f t="shared" si="1"/>
        <v>71.599999999999994</v>
      </c>
      <c r="J14" s="1" t="str">
        <f t="shared" si="2"/>
        <v>pass</v>
      </c>
    </row>
    <row r="16" spans="2:11" x14ac:dyDescent="0.35">
      <c r="B16" s="12" t="s">
        <v>20</v>
      </c>
      <c r="C16" s="5">
        <f>MIN(C4:C14)</f>
        <v>34</v>
      </c>
      <c r="D16" s="5">
        <f t="shared" ref="D16:I16" si="3">MIN(D4:D14)</f>
        <v>23</v>
      </c>
      <c r="E16" s="5">
        <f t="shared" si="3"/>
        <v>34</v>
      </c>
      <c r="F16" s="5">
        <f t="shared" si="3"/>
        <v>45</v>
      </c>
      <c r="G16" s="5">
        <f t="shared" si="3"/>
        <v>23</v>
      </c>
      <c r="H16" s="5">
        <f t="shared" si="3"/>
        <v>276</v>
      </c>
      <c r="I16" s="5">
        <f t="shared" si="3"/>
        <v>55.2</v>
      </c>
    </row>
    <row r="17" spans="2:9" x14ac:dyDescent="0.35">
      <c r="B17" s="10" t="s">
        <v>21</v>
      </c>
      <c r="C17" s="13">
        <f>MAX(C4:C14)</f>
        <v>98</v>
      </c>
      <c r="D17" s="13">
        <f t="shared" ref="D17:I17" si="4">MAX(D4:D14)</f>
        <v>98</v>
      </c>
      <c r="E17" s="13">
        <f t="shared" si="4"/>
        <v>96</v>
      </c>
      <c r="F17" s="13">
        <f t="shared" si="4"/>
        <v>99</v>
      </c>
      <c r="G17" s="13">
        <f t="shared" si="4"/>
        <v>88</v>
      </c>
      <c r="H17" s="13">
        <f t="shared" si="4"/>
        <v>377</v>
      </c>
      <c r="I17" s="13">
        <f t="shared" si="4"/>
        <v>75.400000000000006</v>
      </c>
    </row>
  </sheetData>
  <mergeCells count="1">
    <mergeCell ref="E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zoomScaleNormal="100" workbookViewId="0">
      <selection activeCell="M6" sqref="B1:M6"/>
    </sheetView>
  </sheetViews>
  <sheetFormatPr defaultRowHeight="14.5" x14ac:dyDescent="0.35"/>
  <cols>
    <col min="1" max="1" width="12.1796875" customWidth="1"/>
    <col min="2" max="2" width="10.26953125" bestFit="1" customWidth="1"/>
    <col min="6" max="6" width="8.6328125" customWidth="1"/>
    <col min="8" max="8" width="15.1796875" bestFit="1" customWidth="1"/>
    <col min="11" max="11" width="15.1796875" customWidth="1"/>
  </cols>
  <sheetData>
    <row r="1" spans="1:25" x14ac:dyDescent="0.35">
      <c r="A1" t="s">
        <v>32</v>
      </c>
      <c r="B1">
        <v>100000</v>
      </c>
      <c r="L1">
        <f>LEN(A1)</f>
        <v>11</v>
      </c>
      <c r="M1" t="str">
        <f>CONCATENATE(A1,B1)</f>
        <v>loan amount100000</v>
      </c>
      <c r="Y1">
        <v>3</v>
      </c>
    </row>
    <row r="2" spans="1:25" x14ac:dyDescent="0.35">
      <c r="A2" t="s">
        <v>33</v>
      </c>
      <c r="B2" s="19">
        <v>0.12</v>
      </c>
    </row>
    <row r="3" spans="1:25" x14ac:dyDescent="0.35">
      <c r="A3" t="s">
        <v>34</v>
      </c>
      <c r="B3">
        <v>12</v>
      </c>
      <c r="E3">
        <v>-8765</v>
      </c>
      <c r="H3" s="21">
        <f ca="1">NOW()</f>
        <v>46155.517268750002</v>
      </c>
      <c r="K3" s="22">
        <v>41468</v>
      </c>
    </row>
    <row r="4" spans="1:25" x14ac:dyDescent="0.35">
      <c r="B4" s="20">
        <f>PMT(B2,12,B3-B1)</f>
        <v>16141.743517708448</v>
      </c>
    </row>
    <row r="6" spans="1:25" x14ac:dyDescent="0.35">
      <c r="H6" s="22">
        <f ca="1">TODAY()</f>
        <v>46155</v>
      </c>
      <c r="N6" t="str">
        <f>TRIM(A3)</f>
        <v>months</v>
      </c>
    </row>
    <row r="8" spans="1:25" x14ac:dyDescent="0.35">
      <c r="F8">
        <f>ABS(E3)</f>
        <v>8765</v>
      </c>
    </row>
    <row r="9" spans="1:25" x14ac:dyDescent="0.35">
      <c r="E9">
        <f>LEN(A1)</f>
        <v>11</v>
      </c>
      <c r="H9">
        <f ca="1">DAY(H6)</f>
        <v>13</v>
      </c>
    </row>
    <row r="11" spans="1:25" x14ac:dyDescent="0.35">
      <c r="A11" t="s">
        <v>35</v>
      </c>
      <c r="B11" t="s">
        <v>36</v>
      </c>
    </row>
    <row r="12" spans="1:25" x14ac:dyDescent="0.35">
      <c r="H12">
        <f ca="1">_xlfn.DAYS(K3,H3)</f>
        <v>-4687</v>
      </c>
      <c r="K12" s="22">
        <f ca="1">TODAY()</f>
        <v>46155</v>
      </c>
    </row>
    <row r="13" spans="1:25" x14ac:dyDescent="0.35">
      <c r="K13" s="21">
        <f ca="1">NOW()</f>
        <v>46155.517268750002</v>
      </c>
      <c r="O13" s="23">
        <v>0.46388888888888885</v>
      </c>
    </row>
    <row r="14" spans="1:25" x14ac:dyDescent="0.35">
      <c r="M14" t="str">
        <f>CONCATENATE(A11,B11)</f>
        <v>thirunavukkarasu</v>
      </c>
    </row>
    <row r="15" spans="1:25" x14ac:dyDescent="0.35">
      <c r="E15" t="str">
        <f>UPPER(B3)</f>
        <v>12</v>
      </c>
    </row>
    <row r="16" spans="1:25" x14ac:dyDescent="0.35">
      <c r="H16">
        <f>B1+5</f>
        <v>100005</v>
      </c>
      <c r="K16" t="str">
        <f>MID(O13,2,5)</f>
        <v>.4638</v>
      </c>
    </row>
    <row r="17" spans="1:6" x14ac:dyDescent="0.35">
      <c r="A17" t="str">
        <f>LOWER(A1)</f>
        <v>loan amount</v>
      </c>
    </row>
    <row r="18" spans="1:6" x14ac:dyDescent="0.35">
      <c r="A18" t="str">
        <f>LOWER(A3)</f>
        <v>months</v>
      </c>
      <c r="E18" t="str">
        <f t="shared" ref="E18:F18" si="0">CONCATENATE(B1,B2,B3)</f>
        <v>1000000.1212</v>
      </c>
      <c r="F18" t="str">
        <f t="shared" si="0"/>
        <v/>
      </c>
    </row>
    <row r="21" spans="1:6" x14ac:dyDescent="0.35">
      <c r="F21" t="str">
        <f>A1&amp;B1</f>
        <v>loan amount100000</v>
      </c>
    </row>
  </sheetData>
  <pageMargins left="0.7" right="0.7" top="0.75" bottom="0.75" header="0.3" footer="0.3"/>
  <pageSetup orientation="portrait" r:id="rId1"/>
  <headerFooter scaleWithDoc="0" alignWithMargins="0">
    <oddHeader>&amp;Cth</oddHeader>
    <oddFooter>&amp;Cz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G15"/>
  <sheetViews>
    <sheetView workbookViewId="0">
      <selection activeCell="D23" sqref="D23"/>
    </sheetView>
  </sheetViews>
  <sheetFormatPr defaultRowHeight="14.5" x14ac:dyDescent="0.35"/>
  <sheetData>
    <row r="3" spans="4:7" x14ac:dyDescent="0.35">
      <c r="D3" s="26" t="s">
        <v>38</v>
      </c>
      <c r="E3" s="26" t="s">
        <v>37</v>
      </c>
      <c r="F3" s="24" t="s">
        <v>47</v>
      </c>
      <c r="G3" s="25"/>
    </row>
    <row r="4" spans="4:7" x14ac:dyDescent="0.35">
      <c r="E4">
        <v>2021</v>
      </c>
      <c r="F4" t="s">
        <v>48</v>
      </c>
    </row>
    <row r="5" spans="4:7" x14ac:dyDescent="0.35">
      <c r="D5">
        <v>23</v>
      </c>
      <c r="E5">
        <v>2022</v>
      </c>
      <c r="F5" t="s">
        <v>49</v>
      </c>
    </row>
    <row r="6" spans="4:7" x14ac:dyDescent="0.35">
      <c r="D6">
        <v>22</v>
      </c>
      <c r="E6">
        <v>2023</v>
      </c>
      <c r="F6" t="s">
        <v>50</v>
      </c>
    </row>
    <row r="7" spans="4:7" x14ac:dyDescent="0.35">
      <c r="D7">
        <v>23</v>
      </c>
      <c r="E7">
        <v>2024</v>
      </c>
      <c r="F7" t="s">
        <v>51</v>
      </c>
    </row>
    <row r="8" spans="4:7" x14ac:dyDescent="0.35">
      <c r="D8">
        <v>25</v>
      </c>
      <c r="E8">
        <v>2025</v>
      </c>
      <c r="F8" t="s">
        <v>52</v>
      </c>
    </row>
    <row r="9" spans="4:7" x14ac:dyDescent="0.35">
      <c r="D9">
        <v>2</v>
      </c>
      <c r="E9">
        <v>2026</v>
      </c>
      <c r="F9" t="s">
        <v>53</v>
      </c>
    </row>
    <row r="10" spans="4:7" x14ac:dyDescent="0.35">
      <c r="D10">
        <v>2</v>
      </c>
      <c r="E10">
        <v>2027</v>
      </c>
      <c r="F10" t="s">
        <v>54</v>
      </c>
    </row>
    <row r="11" spans="4:7" x14ac:dyDescent="0.35">
      <c r="D11">
        <v>30</v>
      </c>
      <c r="E11">
        <v>2028</v>
      </c>
    </row>
    <row r="12" spans="4:7" x14ac:dyDescent="0.35">
      <c r="D12">
        <v>1</v>
      </c>
      <c r="E12">
        <v>2029</v>
      </c>
    </row>
    <row r="13" spans="4:7" x14ac:dyDescent="0.35">
      <c r="D13">
        <v>22</v>
      </c>
      <c r="E13">
        <v>2030</v>
      </c>
    </row>
    <row r="14" spans="4:7" x14ac:dyDescent="0.35">
      <c r="D14">
        <v>44</v>
      </c>
      <c r="E14">
        <v>2031</v>
      </c>
    </row>
    <row r="15" spans="4:7" x14ac:dyDescent="0.35">
      <c r="D15">
        <v>31</v>
      </c>
      <c r="E15">
        <v>2032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6:R98"/>
  <sheetViews>
    <sheetView zoomScale="85" zoomScaleNormal="85" workbookViewId="0">
      <selection activeCell="J23" sqref="J23"/>
    </sheetView>
  </sheetViews>
  <sheetFormatPr defaultRowHeight="14.5" x14ac:dyDescent="0.35"/>
  <sheetData>
    <row r="46" spans="4:18" x14ac:dyDescent="0.35">
      <c r="D46" s="28" t="s">
        <v>39</v>
      </c>
      <c r="E46" s="28"/>
      <c r="F46" s="28"/>
      <c r="G46" s="28"/>
      <c r="H46" s="28"/>
      <c r="N46" s="29" t="s">
        <v>40</v>
      </c>
      <c r="O46" s="29"/>
      <c r="P46" s="29"/>
      <c r="Q46" s="29"/>
      <c r="R46" s="29"/>
    </row>
    <row r="63" spans="5:16" x14ac:dyDescent="0.35">
      <c r="E63" s="30" t="s">
        <v>41</v>
      </c>
      <c r="F63" s="30"/>
      <c r="G63" s="30"/>
      <c r="H63" s="30"/>
      <c r="I63" s="30"/>
    </row>
    <row r="64" spans="5:16" x14ac:dyDescent="0.35">
      <c r="E64" s="26"/>
      <c r="F64" s="26"/>
      <c r="G64" s="26"/>
      <c r="H64" s="26"/>
      <c r="I64" s="26"/>
      <c r="O64" s="31" t="s">
        <v>42</v>
      </c>
      <c r="P64" s="31"/>
    </row>
    <row r="80" spans="7:7" x14ac:dyDescent="0.35">
      <c r="G80" s="26" t="s">
        <v>43</v>
      </c>
    </row>
    <row r="98" spans="7:18" x14ac:dyDescent="0.35">
      <c r="G98" t="s">
        <v>44</v>
      </c>
      <c r="I98" s="26"/>
      <c r="Q98" s="26" t="s">
        <v>45</v>
      </c>
      <c r="R98" s="26"/>
    </row>
  </sheetData>
  <mergeCells count="4">
    <mergeCell ref="D46:H46"/>
    <mergeCell ref="N46:R46"/>
    <mergeCell ref="E63:I63"/>
    <mergeCell ref="O64:P6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Sheet4</vt:lpstr>
      <vt:lpstr>Sheet1</vt:lpstr>
      <vt:lpstr>Sheet2</vt:lpstr>
      <vt:lpstr>Sheet6</vt:lpstr>
      <vt:lpstr>modeling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2026-05-06T05:19:04Z</dcterms:created>
  <dcterms:modified xsi:type="dcterms:W3CDTF">2026-05-13T06:54:52Z</dcterms:modified>
</cp:coreProperties>
</file>